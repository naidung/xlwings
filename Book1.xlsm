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CH\Desktop\xlwings\"/>
    </mc:Choice>
  </mc:AlternateContent>
  <xr:revisionPtr revIDLastSave="0" documentId="13_ncr:1_{62CF5E3C-89A1-4D34-923D-7212D00E6934}" xr6:coauthVersionLast="47" xr6:coauthVersionMax="47" xr10:uidLastSave="{00000000-0000-0000-0000-000000000000}"/>
  <bookViews>
    <workbookView xWindow="105" yWindow="15" windowWidth="15525" windowHeight="14985" xr2:uid="{4A138D58-CC24-4854-A689-BF13A7AEFC12}"/>
  </bookViews>
  <sheets>
    <sheet name="1" sheetId="1" r:id="rId1"/>
  </sheets>
  <functionGroups builtInGroupCount="19">
    <functionGroup name="xlwings"/>
  </functionGroups>
  <definedNames>
    <definedName name="ExternalData_1" localSheetId="0" hidden="1">'1'!$F$1:$H$9</definedName>
  </definedNames>
  <calcPr calcId="191029"/>
  <extLst>
    <ext xmlns:x14="http://schemas.microsoft.com/office/spreadsheetml/2009/9/main" uri="{8193D73E-4604-4355-AFF4-8A2333D13BE4}">
      <x14:definedNames>
        <x14:definedName name="join_row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_27808931-d783-4aae-bf8f-016aac06f3dd" name="Table1" connection="Query - 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" l="1" a="1"/>
  <c r="G17" i="1" a="1"/>
  <c r="G17" i="1" l="1"/>
  <c r="F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DC9E6-BB14-43B5-9FC0-F0D63A866CF6}" keepAlive="1" name="ModelConnection_ExternalData_1" description="Data Model" type="5" refreshedVersion="8" minRefreshableVersion="5" saveData="1">
    <dbPr connection="Data Model Connection" command="Table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D67B7AEE-0D6D-447B-8CE3-CAB6C433F34E}" name="Query - Table1" description="Connection to the 'Table1' query in the workbook." type="100" refreshedVersion="8" minRefreshableVersion="5">
    <extLst>
      <ext xmlns:x15="http://schemas.microsoft.com/office/spreadsheetml/2010/11/main" uri="{DE250136-89BD-433C-8126-D09CA5730AF9}">
        <x15:connection id="68b1b02e-7a16-4a52-8d9a-060cef29b386"/>
      </ext>
    </extLst>
  </connection>
  <connection id="3" xr16:uid="{501CB27B-A920-4CC7-8906-EBE5229AF77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<sst xmlns="http://schemas.openxmlformats.org/spreadsheetml/2006/main" count="88" uniqueCount="38">
  <si>
    <t>A</t>
  </si>
  <si>
    <t>Đơn vị chuẩn</t>
  </si>
  <si>
    <t>kg</t>
  </si>
  <si>
    <t>Note</t>
  </si>
  <si>
    <t>Thùng</t>
  </si>
  <si>
    <t>Cuộn</t>
  </si>
  <si>
    <t>Bịch 200 con</t>
  </si>
  <si>
    <t>Cặp</t>
  </si>
  <si>
    <t>Hộp</t>
  </si>
  <si>
    <t>Bịch 100 con</t>
  </si>
  <si>
    <t>Chai</t>
  </si>
  <si>
    <t>Cái</t>
  </si>
  <si>
    <t>Giá bán</t>
  </si>
  <si>
    <t>Sản phẩm</t>
  </si>
  <si>
    <t>Mã Sản phẩm</t>
  </si>
  <si>
    <t>1317000 đ/Thùng</t>
  </si>
  <si>
    <t>76000 đ/Cuộn</t>
  </si>
  <si>
    <t>75000 đ/Chai</t>
  </si>
  <si>
    <t>75000 đ/Hộp</t>
  </si>
  <si>
    <t>SP-001</t>
  </si>
  <si>
    <t>SP-002</t>
  </si>
  <si>
    <t>SP-003</t>
  </si>
  <si>
    <t>SP-004</t>
  </si>
  <si>
    <t>SP-005</t>
  </si>
  <si>
    <t>SP-006</t>
  </si>
  <si>
    <t>SP-007</t>
  </si>
  <si>
    <t>SP-008</t>
  </si>
  <si>
    <t>B</t>
  </si>
  <si>
    <t>C</t>
  </si>
  <si>
    <t>D</t>
  </si>
  <si>
    <t>E</t>
  </si>
  <si>
    <t>F</t>
  </si>
  <si>
    <t>G</t>
  </si>
  <si>
    <t>H</t>
  </si>
  <si>
    <t>788590 đ/Cuộn ,  766000 đ/Thùng ,  766000 đ/Bịch 200 con</t>
  </si>
  <si>
    <t>407000 đ/Cuộn ,  326000 đ/Thùng</t>
  </si>
  <si>
    <t>135000 đ/Bịch 200 con ,  107700 đ/Cặp ,  100000 đ/Cuộn ,  97500 đ/Hộp ,  90300 đ/Bịch 100 con ,  82800 đ/Thùng ,  80600 đ/kg</t>
  </si>
  <si>
    <t>70200 đ/Hộp ,  66500 đ/Cái ,  63000 đ/Bịch 200 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</si>
</sst>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onnections" Target="connections.xml"/><Relationship Id="rId7" Type="http://schemas.openxmlformats.org/officeDocument/2006/relationships/powerPivotData" Target="model/item.data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A5D99A86-1AB6-4355-AFA8-AD2069AF9BA3}" autoFormatId="16" applyNumberFormats="0" applyBorderFormats="0" applyFontFormats="0" applyPatternFormats="0" applyAlignmentFormats="0" applyWidthHeightFormats="0">
  <queryTableRefresh nextId="4">
    <queryTableFields count="3">
      <queryTableField id="1" name="Sản phẩm" tableColumnId="1"/>
      <queryTableField id="2" name="Mã Sản phẩm" tableColumnId="2"/>
      <queryTableField id="3" name="Note" tableColumnId="3"/>
    </queryTableFields>
  </queryTableRefresh>
  <extLst>
    <ext xmlns:x15="http://schemas.microsoft.com/office/spreadsheetml/2010/11/main" uri="{883FBD77-0823-4a55-B5E3-86C4891E6966}">
      <x15:queryTable sourceDataName="Query - Table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CA6348-B269-4E16-A4BF-684449787D26}" name="Table1" displayName="Table1" ref="A1:D20" totalsRowShown="0">
  <autoFilter ref="A1:D20" xr:uid="{EBCA6348-B269-4E16-A4BF-684449787D26}"/>
  <tableColumns count="4">
    <tableColumn id="1" xr3:uid="{74F9CCFB-5A9B-4671-A0C3-4B47733DA1FF}" name="Mã Sản phẩm"/>
    <tableColumn id="2" xr3:uid="{992675BB-F2BA-4AE2-81A4-93D32CC361D7}" name="Sản phẩm"/>
    <tableColumn id="3" xr3:uid="{EABC9784-B7AA-4C8D-BA1B-15FA4AB8893E}" name="Đơn vị chuẩn"/>
    <tableColumn id="4" xr3:uid="{43C4AA94-7D72-40A7-9CC5-F5B5F2391317}" name="Giá bá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0E1674-229E-4354-9FAA-B9A48AFB0ADC}" name="Table_Table1" displayName="Table_Table1" ref="F1:H9" tableType="queryTable" totalsRowShown="0">
  <autoFilter ref="F1:H9" xr:uid="{4E0E1674-229E-4354-9FAA-B9A48AFB0ADC}"/>
  <tableColumns count="3">
    <tableColumn id="1" xr3:uid="{0452B902-DA0F-450C-AF83-5686D2547FF8}" uniqueName="1" name="Sản phẩm" queryTableFieldId="1" dataDxfId="2"/>
    <tableColumn id="2" xr3:uid="{7309572F-24C5-4296-BD1E-D121129CB185}" uniqueName="2" name="Mã Sản phẩm" queryTableFieldId="2" dataDxfId="1"/>
    <tableColumn id="3" xr3:uid="{D8192C28-39CA-42C7-BAAE-4A3112012E73}" uniqueName="3" name="Note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ABE08-B5A2-4E7C-B450-66DBB24B325E}">
  <sheetPr codeName="Sheet1"/>
  <dimension ref="A1:H20"/>
  <sheetViews>
    <sheetView tabSelected="1" workbookViewId="0">
      <selection activeCell="D26" sqref="D26"/>
    </sheetView>
  </sheetViews>
  <sheetFormatPr defaultRowHeight="15" x14ac:dyDescent="0.25"/>
  <cols>
    <col min="1" max="1" width="14.85546875" bestFit="1" customWidth="1"/>
    <col min="2" max="2" width="11.7109375" bestFit="1" customWidth="1"/>
    <col min="3" max="3" width="18.7109375" customWidth="1"/>
    <col min="4" max="4" width="13.85546875" customWidth="1"/>
    <col min="6" max="6" width="11.7109375" bestFit="1" customWidth="1"/>
    <col min="7" max="7" width="14.85546875" bestFit="1" customWidth="1"/>
    <col min="8" max="8" width="106.5703125" bestFit="1" customWidth="1"/>
  </cols>
  <sheetData>
    <row r="1" spans="1:8" x14ac:dyDescent="0.25">
      <c r="A1" t="s">
        <v>14</v>
      </c>
      <c r="B1" t="s">
        <v>13</v>
      </c>
      <c r="C1" t="s">
        <v>1</v>
      </c>
      <c r="D1" t="s">
        <v>12</v>
      </c>
      <c r="F1" t="s">
        <v>13</v>
      </c>
      <c r="G1" t="s">
        <v>14</v>
      </c>
      <c r="H1" t="s">
        <v>3</v>
      </c>
    </row>
    <row r="2" spans="1:8" x14ac:dyDescent="0.25">
      <c r="A2" t="s">
        <v>19</v>
      </c>
      <c r="B2" t="s">
        <v>0</v>
      </c>
      <c r="C2" t="s">
        <v>4</v>
      </c>
      <c r="D2">
        <v>1317000</v>
      </c>
      <c r="F2" t="s">
        <v>0</v>
      </c>
      <c r="G2" t="s">
        <v>19</v>
      </c>
      <c r="H2" t="s">
        <v>15</v>
      </c>
    </row>
    <row r="3" spans="1:8" x14ac:dyDescent="0.25">
      <c r="A3" t="s">
        <v>20</v>
      </c>
      <c r="B3" t="s">
        <v>27</v>
      </c>
      <c r="C3" t="s">
        <v>5</v>
      </c>
      <c r="D3">
        <v>788590</v>
      </c>
      <c r="F3" t="s">
        <v>27</v>
      </c>
      <c r="G3" t="s">
        <v>20</v>
      </c>
      <c r="H3" t="s">
        <v>34</v>
      </c>
    </row>
    <row r="4" spans="1:8" x14ac:dyDescent="0.25">
      <c r="A4" t="s">
        <v>20</v>
      </c>
      <c r="B4" t="s">
        <v>27</v>
      </c>
      <c r="C4" t="s">
        <v>4</v>
      </c>
      <c r="D4">
        <v>766000</v>
      </c>
      <c r="F4" t="s">
        <v>28</v>
      </c>
      <c r="G4" t="s">
        <v>21</v>
      </c>
      <c r="H4" t="s">
        <v>35</v>
      </c>
    </row>
    <row r="5" spans="1:8" x14ac:dyDescent="0.25">
      <c r="A5" t="s">
        <v>20</v>
      </c>
      <c r="B5" t="s">
        <v>27</v>
      </c>
      <c r="C5" t="s">
        <v>6</v>
      </c>
      <c r="D5">
        <v>766000</v>
      </c>
      <c r="F5" t="s">
        <v>29</v>
      </c>
      <c r="G5" t="s">
        <v>22</v>
      </c>
      <c r="H5" t="s">
        <v>36</v>
      </c>
    </row>
    <row r="6" spans="1:8" x14ac:dyDescent="0.25">
      <c r="A6" t="s">
        <v>21</v>
      </c>
      <c r="B6" t="s">
        <v>28</v>
      </c>
      <c r="C6" t="s">
        <v>5</v>
      </c>
      <c r="D6">
        <v>407000</v>
      </c>
      <c r="F6" t="s">
        <v>30</v>
      </c>
      <c r="G6" t="s">
        <v>23</v>
      </c>
      <c r="H6" t="s">
        <v>16</v>
      </c>
    </row>
    <row r="7" spans="1:8" x14ac:dyDescent="0.25">
      <c r="A7" t="s">
        <v>21</v>
      </c>
      <c r="B7" t="s">
        <v>28</v>
      </c>
      <c r="C7" t="s">
        <v>4</v>
      </c>
      <c r="D7">
        <v>326000</v>
      </c>
      <c r="F7" t="s">
        <v>31</v>
      </c>
      <c r="G7" t="s">
        <v>24</v>
      </c>
      <c r="H7" t="s">
        <v>17</v>
      </c>
    </row>
    <row r="8" spans="1:8" x14ac:dyDescent="0.25">
      <c r="A8" t="s">
        <v>22</v>
      </c>
      <c r="B8" t="s">
        <v>29</v>
      </c>
      <c r="C8" t="s">
        <v>6</v>
      </c>
      <c r="D8">
        <v>135000</v>
      </c>
      <c r="F8" t="s">
        <v>32</v>
      </c>
      <c r="G8" t="s">
        <v>25</v>
      </c>
      <c r="H8" t="s">
        <v>18</v>
      </c>
    </row>
    <row r="9" spans="1:8" x14ac:dyDescent="0.25">
      <c r="A9" t="s">
        <v>22</v>
      </c>
      <c r="B9" t="s">
        <v>29</v>
      </c>
      <c r="C9" t="s">
        <v>7</v>
      </c>
      <c r="D9">
        <v>107700</v>
      </c>
      <c r="F9" t="s">
        <v>33</v>
      </c>
      <c r="G9" t="s">
        <v>26</v>
      </c>
      <c r="H9" t="s">
        <v>37</v>
      </c>
    </row>
    <row r="10" spans="1:8" x14ac:dyDescent="0.25">
      <c r="A10" t="s">
        <v>22</v>
      </c>
      <c r="B10" t="s">
        <v>29</v>
      </c>
      <c r="C10" t="s">
        <v>5</v>
      </c>
      <c r="D10">
        <v>100000</v>
      </c>
    </row>
    <row r="11" spans="1:8" x14ac:dyDescent="0.25">
      <c r="A11" t="s">
        <v>22</v>
      </c>
      <c r="B11" t="s">
        <v>29</v>
      </c>
      <c r="C11" t="s">
        <v>8</v>
      </c>
      <c r="D11">
        <v>97500</v>
      </c>
    </row>
    <row r="12" spans="1:8" x14ac:dyDescent="0.25">
      <c r="A12" t="s">
        <v>22</v>
      </c>
      <c r="B12" t="s">
        <v>29</v>
      </c>
      <c r="C12" t="s">
        <v>9</v>
      </c>
      <c r="D12">
        <v>90300</v>
      </c>
    </row>
    <row r="13" spans="1:8" x14ac:dyDescent="0.25">
      <c r="A13" t="s">
        <v>22</v>
      </c>
      <c r="B13" t="s">
        <v>29</v>
      </c>
      <c r="C13" t="s">
        <v>4</v>
      </c>
      <c r="D13">
        <v>82800</v>
      </c>
      <c r="F13" t="str" cm="1">
        <f t="array" ref="F13">join_rows(Table1[[Mã Sản phẩm]:[Đơn vị chuẩn]])</f>
        <v/>
      </c>
    </row>
    <row r="14" spans="1:8" x14ac:dyDescent="0.25">
      <c r="A14" t="s">
        <v>22</v>
      </c>
      <c r="B14" t="s">
        <v>29</v>
      </c>
      <c r="C14" t="s">
        <v>2</v>
      </c>
      <c r="D14">
        <v>80600</v>
      </c>
    </row>
    <row r="15" spans="1:8" x14ac:dyDescent="0.25">
      <c r="A15" t="s">
        <v>23</v>
      </c>
      <c r="B15" t="s">
        <v>30</v>
      </c>
      <c r="C15" t="s">
        <v>5</v>
      </c>
      <c r="D15">
        <v>76000</v>
      </c>
    </row>
    <row r="16" spans="1:8" x14ac:dyDescent="0.25">
      <c r="A16" t="s">
        <v>24</v>
      </c>
      <c r="B16" t="s">
        <v>31</v>
      </c>
      <c r="C16" t="s">
        <v>10</v>
      </c>
      <c r="D16">
        <v>75000</v>
      </c>
    </row>
    <row r="17" spans="1:7" x14ac:dyDescent="0.25">
      <c r="A17" t="s">
        <v>25</v>
      </c>
      <c r="B17" t="s">
        <v>32</v>
      </c>
      <c r="C17" t="s">
        <v>8</v>
      </c>
      <c r="D17">
        <v>75000</v>
      </c>
      <c r="G17" t="str" cm="1">
        <f t="array" ref="G17">join_rows(Table1[[Mã Sản phẩm]:[Đơn vị chuẩn]])</f>
        <v/>
      </c>
    </row>
    <row r="18" spans="1:7" x14ac:dyDescent="0.25">
      <c r="A18" t="s">
        <v>26</v>
      </c>
      <c r="B18" t="s">
        <v>33</v>
      </c>
      <c r="C18" t="s">
        <v>8</v>
      </c>
      <c r="D18">
        <v>70200</v>
      </c>
    </row>
    <row r="19" spans="1:7" x14ac:dyDescent="0.25">
      <c r="A19" t="s">
        <v>26</v>
      </c>
      <c r="B19" t="s">
        <v>33</v>
      </c>
      <c r="C19" t="s">
        <v>11</v>
      </c>
      <c r="D19">
        <v>66500</v>
      </c>
    </row>
    <row r="20" spans="1:7" x14ac:dyDescent="0.25">
      <c r="A20" t="s">
        <v>26</v>
      </c>
      <c r="B20" t="s">
        <v>33</v>
      </c>
      <c r="C20" t="s">
        <v>6</v>
      </c>
      <c r="D20">
        <v>63000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5DCBBE-4890-4DBA-A7EC-0A0272C57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TECH</cp:lastModifiedBy>
  <dcterms:created xsi:type="dcterms:W3CDTF">2023-05-17T03:55:59Z</dcterms:created>
  <dcterms:modified xsi:type="dcterms:W3CDTF">2023-05-20T04:10:36Z</dcterms:modified>
</cp:coreProperties>
</file>